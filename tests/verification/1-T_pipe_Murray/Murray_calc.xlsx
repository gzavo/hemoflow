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<sst xmlns="http://schemas.openxmlformats.org/spreadsheetml/2006/main" count="15" uniqueCount="15">
  <si>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d</t>
  </si>
  <si>
    <t xml:space="preserve">d3</t>
  </si>
  <si>
    <t xml:space="preserve">A</t>
  </si>
  <si>
    <t xml:space="preserve">u</t>
  </si>
  <si>
    <t xml:space="preserve">VFR</t>
  </si>
  <si>
    <t xml:space="preserve">u_sim</t>
  </si>
  <si>
    <t xml:space="preserve">r_sim</t>
  </si>
  <si>
    <t xml:space="preserve">A_sim</t>
  </si>
  <si>
    <t xml:space="preserve">VFR_sim</t>
  </si>
  <si>
    <t xml:space="preserve">inlet</t>
  </si>
  <si>
    <t xml:space="preserve">large outlet</t>
  </si>
  <si>
    <t xml:space="preserve">small outlet</t>
  </si>
  <si>
    <t xml:space="preserve">Sum d3</t>
  </si>
  <si>
    <t xml:space="preserve">murray exp</t>
  </si>
  <si>
    <t xml:space="preserve">sum VFR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</si>
</sst>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7" activeCellId="0" sqref="J7"/>
    </sheetView>
  </sheetViews>
  <sheetFormatPr defaultColWidth="11.53515625" defaultRowHeight="12.8" zeroHeight="false" outlineLevelRow="0" outlineLevelCol="0"/>
  <cols>
    <col collapsed="false" customWidth="true" hidden="false" outlineLevel="0" max="5" min="5" style="0" width="22.12"/>
    <col collapsed="false" customWidth="true" hidden="false" outlineLevel="0" max="10" min="10" style="0" width="15.71"/>
    <col collapsed="false" customWidth="true" hidden="false" outlineLevel="0" max="11" min="11" style="0" width="24.3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/>
      <c r="H2" s="1" t="s">
        <v>5</v>
      </c>
      <c r="I2" s="1"/>
      <c r="J2" s="1" t="s">
        <v>6</v>
      </c>
      <c r="K2" s="1" t="s">
        <v>7</v>
      </c>
      <c r="L2" s="1" t="s">
        <v>8</v>
      </c>
    </row>
    <row r="3" customFormat="false" ht="15" hidden="false" customHeight="false" outlineLevel="0" collapsed="false">
      <c r="A3" s="1" t="s">
        <v>9</v>
      </c>
      <c r="B3" s="1" t="n">
        <f aca="false">3.25*2/1000</f>
        <v>0.0065</v>
      </c>
      <c r="C3" s="1" t="n">
        <f aca="false">B3^$B$8</f>
        <v>2.74625E-007</v>
      </c>
      <c r="D3" s="1" t="n">
        <f aca="false">(B3^2*3.14/4)</f>
        <v>3.316625E-005</v>
      </c>
      <c r="E3" s="1" t="n">
        <v>0.1</v>
      </c>
      <c r="F3" s="1" t="n">
        <f aca="false">E3*D3</f>
        <v>3.316625E-006</v>
      </c>
      <c r="G3" s="1"/>
      <c r="H3" s="1" t="n">
        <v>0.111</v>
      </c>
      <c r="I3" s="2" t="n">
        <f aca="false">(H3-E3)/E3</f>
        <v>0.11</v>
      </c>
      <c r="J3" s="3" t="n">
        <v>0.00325143</v>
      </c>
      <c r="K3" s="3" t="n">
        <f aca="false">J3^2*3.14</f>
        <v>3.3195442720986E-005</v>
      </c>
      <c r="L3" s="1" t="n">
        <f aca="false">H3*K3</f>
        <v>3.68469414202945E-006</v>
      </c>
    </row>
    <row r="4" customFormat="false" ht="15" hidden="false" customHeight="false" outlineLevel="0" collapsed="false">
      <c r="A4" s="1" t="s">
        <v>10</v>
      </c>
      <c r="B4" s="1" t="n">
        <f aca="false">5/1000</f>
        <v>0.005</v>
      </c>
      <c r="C4" s="1" t="n">
        <f aca="false">B4^$B$8</f>
        <v>1.25E-007</v>
      </c>
      <c r="D4" s="1" t="n">
        <f aca="false">(B4^2*3.14/4)</f>
        <v>1.9625E-005</v>
      </c>
      <c r="E4" s="1" t="n">
        <f aca="false">F4/D4</f>
        <v>0.138980263157895</v>
      </c>
      <c r="F4" s="1" t="n">
        <f aca="false">(C4*$F$3)/$B$7</f>
        <v>2.72748766447368E-006</v>
      </c>
      <c r="G4" s="1"/>
      <c r="H4" s="1" t="n">
        <v>0.1472</v>
      </c>
      <c r="I4" s="2" t="n">
        <f aca="false">(H4-E4)/E4</f>
        <v>0.0591431952662723</v>
      </c>
      <c r="J4" s="3" t="n">
        <v>0.00269008</v>
      </c>
      <c r="K4" s="3" t="n">
        <f aca="false">J4^2*3.14</f>
        <v>2.2722705476096E-005</v>
      </c>
      <c r="L4" s="1" t="n">
        <f aca="false">H4*K4</f>
        <v>3.34478224608133E-006</v>
      </c>
      <c r="M4" s="4"/>
    </row>
    <row r="5" customFormat="false" ht="15" hidden="false" customHeight="false" outlineLevel="0" collapsed="false">
      <c r="A5" s="1" t="s">
        <v>11</v>
      </c>
      <c r="B5" s="1" t="n">
        <f aca="false">3/1000</f>
        <v>0.003</v>
      </c>
      <c r="C5" s="1" t="n">
        <f aca="false">B5^$B$8</f>
        <v>2.7E-008</v>
      </c>
      <c r="D5" s="1" t="n">
        <f aca="false">(B5^2*3.14/4)</f>
        <v>7.065E-006</v>
      </c>
      <c r="E5" s="1" t="n">
        <f aca="false">F5/D5</f>
        <v>0.0833881578947368</v>
      </c>
      <c r="F5" s="1" t="n">
        <f aca="false">(C5*$F$3)/$B$7</f>
        <v>5.89137335526316E-007</v>
      </c>
      <c r="G5" s="1"/>
      <c r="H5" s="1" t="n">
        <v>0.09807</v>
      </c>
      <c r="I5" s="2" t="n">
        <f aca="false">(H5-E5)/E5</f>
        <v>0.176066272189349</v>
      </c>
      <c r="J5" s="3" t="n">
        <v>0.00149544</v>
      </c>
      <c r="K5" s="3" t="n">
        <f aca="false">J5^2*3.14</f>
        <v>7.022110091904E-006</v>
      </c>
      <c r="L5" s="1" t="n">
        <f aca="false">H5*K5</f>
        <v>6.88658336713025E-007</v>
      </c>
      <c r="M5" s="4"/>
    </row>
    <row r="6" customFormat="false" ht="15" hidden="false" customHeight="false" outlineLevel="0" collapsed="false">
      <c r="A6" s="1"/>
      <c r="B6" s="1"/>
      <c r="C6" s="1"/>
      <c r="D6" s="1"/>
      <c r="E6" s="1"/>
      <c r="F6" s="1" t="n">
        <f aca="false">F4+F5</f>
        <v>3.316625E-006</v>
      </c>
      <c r="G6" s="1"/>
      <c r="H6" s="1"/>
      <c r="I6" s="1"/>
      <c r="J6" s="1"/>
      <c r="K6" s="1"/>
      <c r="L6" s="1"/>
      <c r="M6" s="4"/>
    </row>
    <row r="7" customFormat="false" ht="15" hidden="false" customHeight="false" outlineLevel="0" collapsed="false">
      <c r="A7" s="1" t="s">
        <v>12</v>
      </c>
      <c r="B7" s="1" t="n">
        <f aca="false">C4+C5</f>
        <v>1.52E-007</v>
      </c>
      <c r="C7" s="1"/>
      <c r="D7" s="1"/>
      <c r="E7" s="1"/>
      <c r="F7" s="1"/>
      <c r="G7" s="1"/>
      <c r="H7" s="1"/>
      <c r="I7" s="1"/>
      <c r="J7" s="1"/>
      <c r="K7" s="1"/>
      <c r="L7" s="1"/>
    </row>
    <row r="8" customFormat="false" ht="15" hidden="false" customHeight="false" outlineLevel="0" collapsed="false">
      <c r="A8" s="1" t="s">
        <v>13</v>
      </c>
      <c r="B8" s="1" t="n">
        <v>3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customFormat="false" ht="15" hidden="false" customHeight="false" outlineLevel="0" collapsed="false">
      <c r="A9" s="1" t="s">
        <v>14</v>
      </c>
      <c r="B9" s="1" t="n">
        <f aca="false">F3</f>
        <v>3.316625E-006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2025-08-08T17:29:26Z</dcterms:created>
  <dc:creator/>
  <dc:description/>
  <dc:language>en-US</dc:language>
  <cp:lastModifiedBy/>
  <dcterms:modified xsi:type="dcterms:W3CDTF">2025-08-08T19:15:18Z</dcterms:modified>
  <cp:revision>5</cp:revision>
  <dc:subject/>
  <dc:title/>
</cp:coreProperties>
</file>